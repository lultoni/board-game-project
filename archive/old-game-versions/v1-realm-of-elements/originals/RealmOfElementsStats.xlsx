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ist\Desktop\Realm of Elements\"/>
    </mc:Choice>
  </mc:AlternateContent>
  <xr:revisionPtr revIDLastSave="0" documentId="13_ncr:1_{CD0BCD9A-7750-4FA2-88AE-8B0CD8EDCD17}" xr6:coauthVersionLast="47" xr6:coauthVersionMax="47" xr10:uidLastSave="{00000000-0000-0000-0000-000000000000}"/>
  <bookViews>
    <workbookView xWindow="-110" yWindow="-110" windowWidth="19420" windowHeight="11500" xr2:uid="{07F1469B-5251-45E5-B2B8-AC517F1A4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J16" i="1"/>
  <c r="H16" i="1"/>
  <c r="K16" i="1"/>
  <c r="I16" i="1"/>
  <c r="K15" i="1"/>
  <c r="J15" i="1"/>
  <c r="I15" i="1"/>
  <c r="H15" i="1"/>
  <c r="J14" i="1"/>
  <c r="K14" i="1"/>
  <c r="L14" i="1"/>
  <c r="M14" i="1"/>
  <c r="H14" i="1"/>
  <c r="I14" i="1"/>
  <c r="H13" i="1"/>
  <c r="I13" i="1"/>
  <c r="J13" i="1"/>
  <c r="L13" i="1" s="1"/>
  <c r="K13" i="1"/>
  <c r="M13" i="1" s="1"/>
  <c r="H12" i="1"/>
  <c r="I12" i="1"/>
  <c r="J12" i="1"/>
  <c r="L12" i="1" s="1"/>
  <c r="K12" i="1"/>
  <c r="M12" i="1" s="1"/>
  <c r="H11" i="1"/>
  <c r="I11" i="1"/>
  <c r="J11" i="1"/>
  <c r="L11" i="1" s="1"/>
  <c r="K11" i="1"/>
  <c r="M11" i="1" s="1"/>
  <c r="J10" i="1"/>
  <c r="K10" i="1"/>
  <c r="L10" i="1"/>
  <c r="M10" i="1"/>
  <c r="H10" i="1"/>
  <c r="I10" i="1"/>
  <c r="H7" i="1"/>
  <c r="I7" i="1"/>
  <c r="H8" i="1"/>
  <c r="I8" i="1"/>
  <c r="H9" i="1"/>
  <c r="I9" i="1"/>
  <c r="J8" i="1"/>
  <c r="L8" i="1" s="1"/>
  <c r="K8" i="1"/>
  <c r="M8" i="1" s="1"/>
  <c r="J9" i="1"/>
  <c r="K9" i="1"/>
  <c r="K6" i="1"/>
  <c r="K5" i="1"/>
  <c r="M5" i="1" s="1"/>
  <c r="K4" i="1"/>
  <c r="M4" i="1" s="1"/>
  <c r="K3" i="1"/>
  <c r="K2" i="1"/>
  <c r="M2" i="1" s="1"/>
  <c r="J7" i="1"/>
  <c r="L7" i="1" s="1"/>
  <c r="J6" i="1"/>
  <c r="L6" i="1" s="1"/>
  <c r="J5" i="1"/>
  <c r="L5" i="1" s="1"/>
  <c r="J4" i="1"/>
  <c r="J3" i="1"/>
  <c r="J2" i="1"/>
  <c r="K7" i="1"/>
  <c r="M7" i="1" s="1"/>
  <c r="M6" i="1"/>
  <c r="L2" i="1"/>
  <c r="L3" i="1"/>
  <c r="L4" i="1"/>
  <c r="M3" i="1"/>
  <c r="H6" i="1"/>
  <c r="I6" i="1"/>
  <c r="H5" i="1"/>
  <c r="I5" i="1"/>
  <c r="H4" i="1"/>
  <c r="I4" i="1"/>
  <c r="H3" i="1"/>
  <c r="I3" i="1"/>
  <c r="I2" i="1"/>
  <c r="H2" i="1"/>
  <c r="M16" i="1" l="1"/>
  <c r="L15" i="1"/>
  <c r="M15" i="1"/>
  <c r="M9" i="1"/>
  <c r="L9" i="1"/>
</calcChain>
</file>

<file path=xl/sharedStrings.xml><?xml version="1.0" encoding="utf-8"?>
<sst xmlns="http://schemas.openxmlformats.org/spreadsheetml/2006/main" count="78" uniqueCount="22">
  <si>
    <t>Game</t>
  </si>
  <si>
    <t>Player 1</t>
  </si>
  <si>
    <t>Player 2</t>
  </si>
  <si>
    <t>Winner</t>
  </si>
  <si>
    <t>Elias</t>
  </si>
  <si>
    <t>Mario</t>
  </si>
  <si>
    <t>Draw</t>
  </si>
  <si>
    <t>Jonathan</t>
  </si>
  <si>
    <t>End Round</t>
  </si>
  <si>
    <t>P1 Elo</t>
  </si>
  <si>
    <t>P2 Elo</t>
  </si>
  <si>
    <t>P1 xWin</t>
  </si>
  <si>
    <t>P2 xWin</t>
  </si>
  <si>
    <t>P1 K</t>
  </si>
  <si>
    <t>P2 K</t>
  </si>
  <si>
    <t>P1 EloDif</t>
  </si>
  <si>
    <t>P2 EloDif</t>
  </si>
  <si>
    <t>jhonny</t>
  </si>
  <si>
    <t>-</t>
  </si>
  <si>
    <t>Version</t>
  </si>
  <si>
    <t>Normal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</si>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</sst>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D17F-398F-46BC-9A46-CAB04572CFA4}">
  <dimension ref="A1:N20"/>
  <sheetViews>
    <sheetView tabSelected="1" workbookViewId="0">
      <selection activeCell="L16" sqref="L16"/>
    </sheetView>
  </sheetViews>
  <sheetFormatPr defaultRowHeight="14.5" x14ac:dyDescent="0.35"/>
  <cols>
    <col min="5" max="5" width="9.8164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19</v>
      </c>
    </row>
    <row r="2" spans="1:14" x14ac:dyDescent="0.35">
      <c r="A2" s="2">
        <v>1</v>
      </c>
      <c r="B2" t="s">
        <v>4</v>
      </c>
      <c r="C2" t="s">
        <v>5</v>
      </c>
      <c r="D2" t="s">
        <v>6</v>
      </c>
      <c r="E2" s="4" t="s">
        <v>18</v>
      </c>
      <c r="F2">
        <v>1000</v>
      </c>
      <c r="G2">
        <v>1000</v>
      </c>
      <c r="H2" s="3">
        <f xml:space="preserve"> 1 / (1 + 10^((G2 - F2) / 400))</f>
        <v>0.5</v>
      </c>
      <c r="I2" s="3">
        <f xml:space="preserve"> 1 / (1 + 10^((F2 - G2) / 400))</f>
        <v>0.5</v>
      </c>
      <c r="J2">
        <f>IF(COUNTIF($B$2:C2, B2) &lt; 30, 30, IF(F2 - G2 &gt; 400, 32, 24))</f>
        <v>30</v>
      </c>
      <c r="K2">
        <f>IF(COUNTIF($B$2:C2, C2) &lt; 30, 30, IF(G2 - F2 &gt; 400, 32, 24))</f>
        <v>30</v>
      </c>
      <c r="L2">
        <f>ROUND(F2+(IF(J2 &lt; 30, 30, IF(F2 - G2 &gt; 400, 32, 24)))*(IF(D2="Draw",0.5,IF(D2=B2,1,0)) - H2),0)</f>
        <v>1000</v>
      </c>
      <c r="M2">
        <f>ROUND(G2+K2*(IF(D2="Draw",0.5,IF(D2=C2,1,0)) - I2),0)</f>
        <v>1000</v>
      </c>
      <c r="N2" t="s">
        <v>20</v>
      </c>
    </row>
    <row r="3" spans="1:14" x14ac:dyDescent="0.35">
      <c r="A3" s="2">
        <v>2</v>
      </c>
      <c r="B3" t="s">
        <v>4</v>
      </c>
      <c r="C3" t="s">
        <v>7</v>
      </c>
      <c r="D3" t="s">
        <v>7</v>
      </c>
      <c r="E3" s="4">
        <v>9</v>
      </c>
      <c r="F3">
        <v>1000</v>
      </c>
      <c r="G3">
        <v>1000</v>
      </c>
      <c r="H3" s="3">
        <f xml:space="preserve"> 1 / (1 + 10^((G3 - F3) / 400))</f>
        <v>0.5</v>
      </c>
      <c r="I3" s="3">
        <f xml:space="preserve"> 1 / (1 + 10^((F3 - G3) / 400))</f>
        <v>0.5</v>
      </c>
      <c r="J3">
        <f>IF(COUNTIF($B$2:C3, B3) &lt; 30, 30, IF(F3 - G3 &gt; 400, 32, 24))</f>
        <v>30</v>
      </c>
      <c r="K3">
        <f>IF(COUNTIF($B$2:C3, C3) &lt; 30, 30, IF(G3 - F3 &gt; 400, 32, 24))</f>
        <v>30</v>
      </c>
      <c r="L3">
        <f t="shared" ref="L3:L4" si="0">ROUND(F3+J3*(IF(D3="Draw",0.5,IF(D3=B3,1,0)) - H3),0)</f>
        <v>985</v>
      </c>
      <c r="M3">
        <f t="shared" ref="M3:M4" si="1">ROUND(G3+K3*(IF(D3="Draw",0.5,IF(D3=C3,1,0)) - I3),0)</f>
        <v>1015</v>
      </c>
      <c r="N3" t="s">
        <v>20</v>
      </c>
    </row>
    <row r="4" spans="1:14" x14ac:dyDescent="0.35">
      <c r="A4" s="2">
        <v>3</v>
      </c>
      <c r="B4" t="s">
        <v>4</v>
      </c>
      <c r="C4" t="s">
        <v>5</v>
      </c>
      <c r="D4" t="s">
        <v>4</v>
      </c>
      <c r="E4" s="4">
        <v>7</v>
      </c>
      <c r="F4">
        <v>985</v>
      </c>
      <c r="G4">
        <v>1000</v>
      </c>
      <c r="H4" s="3">
        <f xml:space="preserve"> 1 / (1 + 10^((G4 - F4) / 400))</f>
        <v>0.47842666694885455</v>
      </c>
      <c r="I4" s="3">
        <f xml:space="preserve"> 1 / (1 + 10^((F4 - G4) / 400))</f>
        <v>0.5215733330511455</v>
      </c>
      <c r="J4">
        <f>IF(COUNTIF($B$2:C4, B4) &lt; 30, 30, IF(F4 - G4 &gt; 400, 32, 24))</f>
        <v>30</v>
      </c>
      <c r="K4">
        <f>IF(COUNTIF($B$2:C4, C4) &lt; 30, 30, IF(G4 - F4 &gt; 400, 32, 24))</f>
        <v>30</v>
      </c>
      <c r="L4">
        <f t="shared" si="0"/>
        <v>1001</v>
      </c>
      <c r="M4">
        <f t="shared" si="1"/>
        <v>984</v>
      </c>
      <c r="N4" t="s">
        <v>20</v>
      </c>
    </row>
    <row r="5" spans="1:14" x14ac:dyDescent="0.35">
      <c r="A5" s="2">
        <v>4</v>
      </c>
      <c r="B5" t="s">
        <v>4</v>
      </c>
      <c r="C5" t="s">
        <v>7</v>
      </c>
      <c r="D5" t="s">
        <v>7</v>
      </c>
      <c r="E5" s="4">
        <v>4</v>
      </c>
      <c r="F5">
        <v>1001</v>
      </c>
      <c r="G5">
        <v>1015</v>
      </c>
      <c r="H5" s="3">
        <f xml:space="preserve"> 1 / (1 + 10^((G5 - F5) / 400))</f>
        <v>0.47986327796418354</v>
      </c>
      <c r="I5" s="3">
        <f xml:space="preserve"> 1 / (1 + 10^((F5 - G5) / 400))</f>
        <v>0.52013672203581651</v>
      </c>
      <c r="J5">
        <f>IF(COUNTIF($B$2:C5, B5) &lt; 30, 30, IF(F5 - G5 &gt; 400, 32, 24))</f>
        <v>30</v>
      </c>
      <c r="K5">
        <f>IF(COUNTIF($B$2:C5, C5) &lt; 30, 30, IF(G5 - F5 &gt; 400, 32, 24))</f>
        <v>30</v>
      </c>
      <c r="L5">
        <f t="shared" ref="L5" si="2">ROUND(F5+J5*(IF(D5="Draw",0.5,IF(D5=B5,1,0)) - H5),0)</f>
        <v>987</v>
      </c>
      <c r="M5">
        <f t="shared" ref="M5" si="3">ROUND(G5+K5*(IF(D5="Draw",0.5,IF(D5=C5,1,0)) - I5),0)</f>
        <v>1029</v>
      </c>
      <c r="N5" t="s">
        <v>20</v>
      </c>
    </row>
    <row r="6" spans="1:14" x14ac:dyDescent="0.35">
      <c r="A6" s="2">
        <v>5</v>
      </c>
      <c r="B6" t="s">
        <v>4</v>
      </c>
      <c r="C6" t="s">
        <v>7</v>
      </c>
      <c r="D6" t="s">
        <v>4</v>
      </c>
      <c r="E6" s="4">
        <v>11</v>
      </c>
      <c r="F6">
        <v>987</v>
      </c>
      <c r="G6">
        <v>1029</v>
      </c>
      <c r="H6" s="3">
        <f xml:space="preserve"> 1 / (1 + 10^((G6 - F6) / 400))</f>
        <v>0.43984985476809713</v>
      </c>
      <c r="I6" s="3">
        <f xml:space="preserve"> 1 / (1 + 10^((F6 - G6) / 400))</f>
        <v>0.56015014523190287</v>
      </c>
      <c r="J6">
        <f>IF(COUNTIF($B$2:C6, B6) &lt; 30, 30, IF(F6 - G6 &gt; 400, 32, 24))</f>
        <v>30</v>
      </c>
      <c r="K6">
        <f>IF(COUNTIF($B$2:C6, C6) &lt; 30, 30, IF(G6 - F6 &gt; 400, 32, 24))</f>
        <v>30</v>
      </c>
      <c r="L6">
        <f t="shared" ref="L6" si="4">ROUND(F6+J6*(IF(D6="Draw",0.5,IF(D6=B6,1,0)) - H6),0)</f>
        <v>1004</v>
      </c>
      <c r="M6">
        <f t="shared" ref="M6" si="5">ROUND(G6+K6*(IF(D6="Draw",0.5,IF(D6=C6,1,0)) - I6),0)</f>
        <v>1012</v>
      </c>
      <c r="N6" t="s">
        <v>20</v>
      </c>
    </row>
    <row r="7" spans="1:14" x14ac:dyDescent="0.35">
      <c r="A7" s="2">
        <v>6</v>
      </c>
      <c r="B7" t="s">
        <v>4</v>
      </c>
      <c r="C7" t="s">
        <v>17</v>
      </c>
      <c r="D7" t="s">
        <v>17</v>
      </c>
      <c r="E7" s="4" t="s">
        <v>18</v>
      </c>
      <c r="F7">
        <v>1004</v>
      </c>
      <c r="G7">
        <v>1000</v>
      </c>
      <c r="H7" s="3">
        <f t="shared" ref="H7:H10" si="6" xml:space="preserve"> 1 / (1 + 10^((G7 - F7) / 400))</f>
        <v>0.50575620841114488</v>
      </c>
      <c r="I7" s="3">
        <f t="shared" ref="I7:I10" si="7" xml:space="preserve"> 1 / (1 + 10^((F7 - G7) / 400))</f>
        <v>0.49424379158885506</v>
      </c>
      <c r="J7">
        <f>IF(COUNTIF($B$2:C7, B7) &lt; 30, 30, IF(F7 - G7 &gt; 400, 32, 24))</f>
        <v>30</v>
      </c>
      <c r="K7">
        <f>IF(COUNTIF($B$2:C7, C7) &lt; 30, 30, IF(G7 - F7 &gt; 400, 32, 24))</f>
        <v>30</v>
      </c>
      <c r="L7">
        <f t="shared" ref="L7:L9" si="8">ROUND(F7+J7*(IF(D7="Draw",0.5,IF(D7=B7,1,0)) - H7),0)</f>
        <v>989</v>
      </c>
      <c r="M7">
        <f t="shared" ref="M7:M9" si="9">ROUND(G7+K7*(IF(D7="Draw",0.5,IF(D7=C7,1,0)) - I7),0)</f>
        <v>1015</v>
      </c>
      <c r="N7" t="s">
        <v>20</v>
      </c>
    </row>
    <row r="8" spans="1:14" x14ac:dyDescent="0.35">
      <c r="A8" s="2">
        <v>7</v>
      </c>
      <c r="B8" t="s">
        <v>4</v>
      </c>
      <c r="C8" t="s">
        <v>17</v>
      </c>
      <c r="D8" t="s">
        <v>4</v>
      </c>
      <c r="E8" s="4">
        <v>13</v>
      </c>
      <c r="F8">
        <v>989</v>
      </c>
      <c r="G8">
        <v>1015</v>
      </c>
      <c r="H8" s="3">
        <f t="shared" si="6"/>
        <v>0.46265268283350719</v>
      </c>
      <c r="I8" s="3">
        <f t="shared" si="7"/>
        <v>0.53734731716649276</v>
      </c>
      <c r="J8">
        <f>IF(COUNTIF($B$2:C8, B8) &lt; 30, 30, IF(F8 - G8 &gt; 400, 32, 24))</f>
        <v>30</v>
      </c>
      <c r="K8">
        <f>IF(COUNTIF($B$2:C8, C8) &lt; 30, 30, IF(G8 - F8 &gt; 400, 32, 24))</f>
        <v>30</v>
      </c>
      <c r="L8">
        <f t="shared" si="8"/>
        <v>1005</v>
      </c>
      <c r="M8">
        <f t="shared" si="9"/>
        <v>999</v>
      </c>
      <c r="N8" t="s">
        <v>20</v>
      </c>
    </row>
    <row r="9" spans="1:14" x14ac:dyDescent="0.35">
      <c r="A9" s="2">
        <v>8</v>
      </c>
      <c r="B9" t="s">
        <v>4</v>
      </c>
      <c r="C9" t="s">
        <v>17</v>
      </c>
      <c r="D9" t="s">
        <v>4</v>
      </c>
      <c r="E9" s="4">
        <v>4</v>
      </c>
      <c r="F9">
        <v>1005</v>
      </c>
      <c r="G9">
        <v>999</v>
      </c>
      <c r="H9" s="3">
        <f t="shared" si="6"/>
        <v>0.50863383582108268</v>
      </c>
      <c r="I9" s="3">
        <f t="shared" si="7"/>
        <v>0.49136616417891738</v>
      </c>
      <c r="J9">
        <f>IF(COUNTIF($B$2:C9, B9) &lt; 30, 30, IF(F9 - G9 &gt; 400, 32, 24))</f>
        <v>30</v>
      </c>
      <c r="K9">
        <f>IF(COUNTIF($B$2:C9, C9) &lt; 30, 30, IF(G9 - F9 &gt; 400, 32, 24))</f>
        <v>30</v>
      </c>
      <c r="L9">
        <f t="shared" si="8"/>
        <v>1020</v>
      </c>
      <c r="M9">
        <f t="shared" si="9"/>
        <v>984</v>
      </c>
      <c r="N9" t="s">
        <v>20</v>
      </c>
    </row>
    <row r="10" spans="1:14" x14ac:dyDescent="0.35">
      <c r="A10" s="2">
        <v>9</v>
      </c>
      <c r="B10" t="s">
        <v>4</v>
      </c>
      <c r="C10" t="s">
        <v>17</v>
      </c>
      <c r="D10" t="s">
        <v>4</v>
      </c>
      <c r="E10" s="4" t="s">
        <v>18</v>
      </c>
      <c r="F10">
        <v>1020</v>
      </c>
      <c r="G10">
        <v>984</v>
      </c>
      <c r="H10" s="3">
        <f t="shared" si="6"/>
        <v>0.55162354731096053</v>
      </c>
      <c r="I10" s="3">
        <f t="shared" si="7"/>
        <v>0.44837645268903947</v>
      </c>
      <c r="J10">
        <f>IF(COUNTIF($B$2:C10, B10) &lt; 30, 30, IF(F10 - G10 &gt; 400, 32, 24))</f>
        <v>30</v>
      </c>
      <c r="K10">
        <f>IF(COUNTIF($B$2:C10, C10) &lt; 30, 30, IF(G10 - F10 &gt; 400, 32, 24))</f>
        <v>30</v>
      </c>
      <c r="L10">
        <f t="shared" ref="L10" si="10">ROUND(F10+J10*(IF(D10="Draw",0.5,IF(D10=B10,1,0)) - H10),0)</f>
        <v>1033</v>
      </c>
      <c r="M10">
        <f t="shared" ref="M10" si="11">ROUND(G10+K10*(IF(D10="Draw",0.5,IF(D10=C10,1,0)) - I10),0)</f>
        <v>971</v>
      </c>
      <c r="N10" t="s">
        <v>20</v>
      </c>
    </row>
    <row r="11" spans="1:14" x14ac:dyDescent="0.35">
      <c r="A11" s="2">
        <v>10</v>
      </c>
      <c r="B11" t="s">
        <v>4</v>
      </c>
      <c r="C11" t="s">
        <v>17</v>
      </c>
      <c r="D11" t="s">
        <v>4</v>
      </c>
      <c r="E11" s="4">
        <v>11</v>
      </c>
      <c r="F11">
        <v>1033</v>
      </c>
      <c r="G11">
        <v>971</v>
      </c>
      <c r="H11" s="3">
        <f t="shared" ref="H11" si="12" xml:space="preserve"> 1 / (1 + 10^((G11 - F11) / 400))</f>
        <v>0.58828997186316279</v>
      </c>
      <c r="I11" s="3">
        <f t="shared" ref="I11" si="13" xml:space="preserve"> 1 / (1 + 10^((F11 - G11) / 400))</f>
        <v>0.41171002813683716</v>
      </c>
      <c r="J11">
        <f>IF(COUNTIF($B$2:C11, B11) &lt; 30, 30, IF(F11 - G11 &gt; 400, 32, 24))</f>
        <v>30</v>
      </c>
      <c r="K11">
        <f>IF(COUNTIF($B$2:C11, C11) &lt; 30, 30, IF(G11 - F11 &gt; 400, 32, 24))</f>
        <v>30</v>
      </c>
      <c r="L11">
        <f t="shared" ref="L11" si="14">ROUND(F11+J11*(IF(D11="Draw",0.5,IF(D11=B11,1,0)) - H11),0)</f>
        <v>1045</v>
      </c>
      <c r="M11">
        <f t="shared" ref="M11" si="15">ROUND(G11+K11*(IF(D11="Draw",0.5,IF(D11=C11,1,0)) - I11),0)</f>
        <v>959</v>
      </c>
      <c r="N11" t="s">
        <v>20</v>
      </c>
    </row>
    <row r="12" spans="1:14" x14ac:dyDescent="0.35">
      <c r="A12" s="2">
        <v>11</v>
      </c>
      <c r="B12" t="s">
        <v>4</v>
      </c>
      <c r="C12" t="s">
        <v>17</v>
      </c>
      <c r="D12" t="s">
        <v>4</v>
      </c>
      <c r="E12" s="4" t="s">
        <v>18</v>
      </c>
      <c r="F12">
        <v>1000</v>
      </c>
      <c r="G12">
        <v>1000</v>
      </c>
      <c r="H12" s="3">
        <f t="shared" ref="H12" si="16" xml:space="preserve"> 1 / (1 + 10^((G12 - F12) / 400))</f>
        <v>0.5</v>
      </c>
      <c r="I12" s="3">
        <f t="shared" ref="I12" si="17" xml:space="preserve"> 1 / (1 + 10^((F12 - G12) / 400))</f>
        <v>0.5</v>
      </c>
      <c r="J12">
        <f>IF(COUNTIF($B$2:C12, B12) &lt; 30, 30, IF(F12 - G12 &gt; 400, 32, 24))</f>
        <v>30</v>
      </c>
      <c r="K12">
        <f>IF(COUNTIF($B$2:C12, C12) &lt; 30, 30, IF(G12 - F12 &gt; 400, 32, 24))</f>
        <v>30</v>
      </c>
      <c r="L12">
        <f t="shared" ref="L12" si="18">ROUND(F12+J12*(IF(D12="Draw",0.5,IF(D12=B12,1,0)) - H12),0)</f>
        <v>1015</v>
      </c>
      <c r="M12">
        <f t="shared" ref="M12" si="19">ROUND(G12+K12*(IF(D12="Draw",0.5,IF(D12=C12,1,0)) - I12),0)</f>
        <v>985</v>
      </c>
      <c r="N12" t="s">
        <v>21</v>
      </c>
    </row>
    <row r="13" spans="1:14" x14ac:dyDescent="0.35">
      <c r="A13" s="2">
        <v>12</v>
      </c>
      <c r="B13" t="s">
        <v>4</v>
      </c>
      <c r="C13" t="s">
        <v>17</v>
      </c>
      <c r="D13" t="s">
        <v>17</v>
      </c>
      <c r="E13" s="4">
        <v>6</v>
      </c>
      <c r="F13">
        <v>1045</v>
      </c>
      <c r="G13">
        <v>959</v>
      </c>
      <c r="H13" s="3">
        <f t="shared" ref="H13:H14" si="20" xml:space="preserve"> 1 / (1 + 10^((G13 - F13) / 400))</f>
        <v>0.62129672312245454</v>
      </c>
      <c r="I13" s="3">
        <f t="shared" ref="I13:I14" si="21" xml:space="preserve"> 1 / (1 + 10^((F13 - G13) / 400))</f>
        <v>0.3787032768775454</v>
      </c>
      <c r="J13">
        <f>IF(COUNTIF($B$2:C13, B13) &lt; 30, 30, IF(F13 - G13 &gt; 400, 32, 24))</f>
        <v>30</v>
      </c>
      <c r="K13">
        <f>IF(COUNTIF($B$2:C13, C13) &lt; 30, 30, IF(G13 - F13 &gt; 400, 32, 24))</f>
        <v>30</v>
      </c>
      <c r="L13">
        <f t="shared" ref="L13" si="22">ROUND(F13+J13*(IF(D13="Draw",0.5,IF(D13=B13,1,0)) - H13),0)</f>
        <v>1026</v>
      </c>
      <c r="M13">
        <f t="shared" ref="M13" si="23">ROUND(G13+K13*(IF(D13="Draw",0.5,IF(D13=C13,1,0)) - I13),0)</f>
        <v>978</v>
      </c>
      <c r="N13" t="s">
        <v>20</v>
      </c>
    </row>
    <row r="14" spans="1:14" x14ac:dyDescent="0.35">
      <c r="A14" s="2">
        <v>13</v>
      </c>
      <c r="B14" t="s">
        <v>4</v>
      </c>
      <c r="C14" t="s">
        <v>17</v>
      </c>
      <c r="D14" t="s">
        <v>4</v>
      </c>
      <c r="E14" s="4">
        <v>6</v>
      </c>
      <c r="F14">
        <v>1015</v>
      </c>
      <c r="G14">
        <v>985</v>
      </c>
      <c r="H14" s="3">
        <f t="shared" si="20"/>
        <v>0.54306649202221191</v>
      </c>
      <c r="I14" s="3">
        <f t="shared" si="21"/>
        <v>0.4569335079777882</v>
      </c>
      <c r="J14">
        <f>IF(COUNTIF($B$2:C14, B14) &lt; 30, 30, IF(F14 - G14 &gt; 400, 32, 24))</f>
        <v>30</v>
      </c>
      <c r="K14">
        <f>IF(COUNTIF($B$2:C14, C14) &lt; 30, 30, IF(G14 - F14 &gt; 400, 32, 24))</f>
        <v>30</v>
      </c>
      <c r="L14">
        <f t="shared" ref="L14:L15" si="24">ROUND(F14+J14*(IF(D14="Draw",0.5,IF(D14=B14,1,0)) - H14),0)</f>
        <v>1029</v>
      </c>
      <c r="M14">
        <f t="shared" ref="M14:M15" si="25">ROUND(G14+K14*(IF(D14="Draw",0.5,IF(D14=C14,1,0)) - I14),0)</f>
        <v>971</v>
      </c>
      <c r="N14" t="s">
        <v>21</v>
      </c>
    </row>
    <row r="15" spans="1:14" x14ac:dyDescent="0.35">
      <c r="A15" s="2">
        <v>14</v>
      </c>
      <c r="B15" t="s">
        <v>4</v>
      </c>
      <c r="C15" t="s">
        <v>17</v>
      </c>
      <c r="D15" t="s">
        <v>4</v>
      </c>
      <c r="E15" s="4">
        <v>4</v>
      </c>
      <c r="F15">
        <v>1026</v>
      </c>
      <c r="G15">
        <v>978</v>
      </c>
      <c r="H15" s="3">
        <f t="shared" ref="H15:H16" si="26" xml:space="preserve"> 1 / (1 + 10^((G15 - F15) / 400))</f>
        <v>0.56864139188366769</v>
      </c>
      <c r="I15" s="3">
        <f t="shared" ref="I15:I16" si="27" xml:space="preserve"> 1 / (1 + 10^((F15 - G15) / 400))</f>
        <v>0.43135860811633236</v>
      </c>
      <c r="J15">
        <f>IF(COUNTIF($B$2:C15, B15) &lt; 30, 30, IF(F15 - G15 &gt; 400, 32, 24))</f>
        <v>30</v>
      </c>
      <c r="K15">
        <f>IF(COUNTIF($B$2:C15, C15) &lt; 30, 30, IF(G15 - F15 &gt; 400, 32, 24))</f>
        <v>30</v>
      </c>
      <c r="L15">
        <f t="shared" si="24"/>
        <v>1039</v>
      </c>
      <c r="M15">
        <f t="shared" si="25"/>
        <v>965</v>
      </c>
      <c r="N15" t="s">
        <v>20</v>
      </c>
    </row>
    <row r="16" spans="1:14" x14ac:dyDescent="0.35">
      <c r="A16" s="2">
        <v>15</v>
      </c>
      <c r="B16" t="s">
        <v>4</v>
      </c>
      <c r="C16" t="s">
        <v>17</v>
      </c>
      <c r="D16" t="s">
        <v>6</v>
      </c>
      <c r="E16" s="4">
        <v>15</v>
      </c>
      <c r="F16">
        <v>1039</v>
      </c>
      <c r="G16">
        <v>965</v>
      </c>
      <c r="H16" s="3">
        <f xml:space="preserve"> 1 / (1 + 10^((G16 - F16) / 400))</f>
        <v>0.60491290200795689</v>
      </c>
      <c r="I16" s="3">
        <f t="shared" si="27"/>
        <v>0.39508709799204311</v>
      </c>
      <c r="J16">
        <f>IF(COUNTIF($B$2:C16, B16) &lt; 30, 30, IF(F16 - G16 &gt; 400, 32, 24))</f>
        <v>30</v>
      </c>
      <c r="K16">
        <f>IF(COUNTIF($B$2:C16, C16) &lt; 30, 30, IF(G16 - F16 &gt; 400, 32, 24))</f>
        <v>30</v>
      </c>
      <c r="L16">
        <f>ROUND(F16+J16*(IF(D16="Draw",0.5,IF(D16=B16,1,0)) - H16),0)</f>
        <v>1036</v>
      </c>
      <c r="M16">
        <f t="shared" ref="M16" si="28">ROUND(G16+K16*(IF(D16="Draw",0.5,IF(D16=C16,1,0)) - I16),0)</f>
        <v>968</v>
      </c>
      <c r="N16" t="s">
        <v>20</v>
      </c>
    </row>
    <row r="17" spans="5:5" x14ac:dyDescent="0.35">
      <c r="E17" s="4"/>
    </row>
    <row r="18" spans="5:5" x14ac:dyDescent="0.35">
      <c r="E18" s="4"/>
    </row>
    <row r="19" spans="5:5" x14ac:dyDescent="0.35">
      <c r="E19" s="4"/>
    </row>
    <row r="20" spans="5:5" x14ac:dyDescent="0.35">
      <c r="E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Glauert</dc:creator>
  <cp:lastModifiedBy>Elias Glauert</cp:lastModifiedBy>
  <dcterms:created xsi:type="dcterms:W3CDTF">2023-09-15T10:47:39Z</dcterms:created>
  <dcterms:modified xsi:type="dcterms:W3CDTF">2023-10-22T17:45:07Z</dcterms:modified>
</cp:coreProperties>
</file>