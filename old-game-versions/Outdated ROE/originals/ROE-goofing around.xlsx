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Rune Amount Change" sheetId="2" r:id="rId6"/>
  </sheets>
  <definedNames/>
  <calcPr/>
</workbook>
</file>

<file path=xl/sharedStrings.xml><?xml version="1.0" encoding="utf-8"?>
<sst xmlns="http://schemas.openxmlformats.org/spreadsheetml/2006/main" count="147" uniqueCount="141">
  <si>
    <t>Plains</t>
  </si>
  <si>
    <t>Blacksmith M</t>
  </si>
  <si>
    <t>Bard M</t>
  </si>
  <si>
    <t>Fire Witch O</t>
  </si>
  <si>
    <t>Paladin H</t>
  </si>
  <si>
    <t>Engineer O</t>
  </si>
  <si>
    <t>Forrest</t>
  </si>
  <si>
    <t>Thief H</t>
  </si>
  <si>
    <t>Scavenger H</t>
  </si>
  <si>
    <t>Musketeer H</t>
  </si>
  <si>
    <t>Earth Witch E</t>
  </si>
  <si>
    <t>Wildkeeper H</t>
  </si>
  <si>
    <t>Board Size</t>
  </si>
  <si>
    <t>Tiles</t>
  </si>
  <si>
    <t>Mountain</t>
  </si>
  <si>
    <t>Necromancer O</t>
  </si>
  <si>
    <t>Vampire x</t>
  </si>
  <si>
    <t>Monk D</t>
  </si>
  <si>
    <t>Stone Golem x</t>
  </si>
  <si>
    <t>Harpy x</t>
  </si>
  <si>
    <t>Water</t>
  </si>
  <si>
    <t>Siren x</t>
  </si>
  <si>
    <t>Water Mage E</t>
  </si>
  <si>
    <t>Healer E</t>
  </si>
  <si>
    <t>Humans</t>
  </si>
  <si>
    <t>Dwarfs</t>
  </si>
  <si>
    <t>Elfs</t>
  </si>
  <si>
    <t>Orcs</t>
  </si>
  <si>
    <t>Other</t>
  </si>
  <si>
    <t>Male</t>
  </si>
  <si>
    <t>Female</t>
  </si>
  <si>
    <t>Ranger Amount</t>
  </si>
  <si>
    <t>Ranger Picks</t>
  </si>
  <si>
    <t>Ranger Bans</t>
  </si>
  <si>
    <t>Rangers Left</t>
  </si>
  <si>
    <t>(old 12)</t>
  </si>
  <si>
    <t>(new only gTer)</t>
  </si>
  <si>
    <t xml:space="preserve"> -&gt; only one ranger per type in entire game</t>
  </si>
  <si>
    <t>R1</t>
  </si>
  <si>
    <t>R2</t>
  </si>
  <si>
    <t>R3</t>
  </si>
  <si>
    <t>R4</t>
  </si>
  <si>
    <t>R5</t>
  </si>
  <si>
    <t>Armorer</t>
  </si>
  <si>
    <t>Crossbowman</t>
  </si>
  <si>
    <t>Aristocrat</t>
  </si>
  <si>
    <t>Barbarian</t>
  </si>
  <si>
    <t>Elementalist</t>
  </si>
  <si>
    <t>Emperor</t>
  </si>
  <si>
    <t>Criminals</t>
  </si>
  <si>
    <t>Butcher</t>
  </si>
  <si>
    <t>Infantryman</t>
  </si>
  <si>
    <t>Banker</t>
  </si>
  <si>
    <t>Fighter</t>
  </si>
  <si>
    <t>Witch</t>
  </si>
  <si>
    <t>King</t>
  </si>
  <si>
    <t>Brigand</t>
  </si>
  <si>
    <t>Base</t>
  </si>
  <si>
    <t>Chirurgeon</t>
  </si>
  <si>
    <t>Longbowman</t>
  </si>
  <si>
    <t>Diplomat</t>
  </si>
  <si>
    <t>Gladiator</t>
  </si>
  <si>
    <t>Hearthwitch</t>
  </si>
  <si>
    <t>Lord</t>
  </si>
  <si>
    <t>Gangsters</t>
  </si>
  <si>
    <t>Effect</t>
  </si>
  <si>
    <t>Doctor</t>
  </si>
  <si>
    <t>Ranger</t>
  </si>
  <si>
    <t>Merchant</t>
  </si>
  <si>
    <t>Knight</t>
  </si>
  <si>
    <t>Mage</t>
  </si>
  <si>
    <t>Queen</t>
  </si>
  <si>
    <t>Pirate</t>
  </si>
  <si>
    <t>Executioner</t>
  </si>
  <si>
    <t>Allomancer</t>
  </si>
  <si>
    <t>Samurai</t>
  </si>
  <si>
    <t>Wizard</t>
  </si>
  <si>
    <t>Daimyo</t>
  </si>
  <si>
    <t>Viking</t>
  </si>
  <si>
    <t>Smith</t>
  </si>
  <si>
    <t>Soldier</t>
  </si>
  <si>
    <t>Sorcerer</t>
  </si>
  <si>
    <t>Commander</t>
  </si>
  <si>
    <t>Tinker</t>
  </si>
  <si>
    <t>Swordsman</t>
  </si>
  <si>
    <t>Warlock</t>
  </si>
  <si>
    <t>Warrior</t>
  </si>
  <si>
    <t>Armor</t>
  </si>
  <si>
    <t>M Range</t>
  </si>
  <si>
    <t>S Range</t>
  </si>
  <si>
    <t>S Damage</t>
  </si>
  <si>
    <t>S Cost</t>
  </si>
  <si>
    <t>Ronin</t>
  </si>
  <si>
    <t>Base Abilities</t>
  </si>
  <si>
    <t>Added Abilities</t>
  </si>
  <si>
    <t>Combined Sum</t>
  </si>
  <si>
    <t>% of All Skills</t>
  </si>
  <si>
    <t>Joker</t>
  </si>
  <si>
    <t>Boost</t>
  </si>
  <si>
    <t>Offense</t>
  </si>
  <si>
    <t>Defense</t>
  </si>
  <si>
    <t>Tile Control</t>
  </si>
  <si>
    <t>Mobility</t>
  </si>
  <si>
    <t>Thief</t>
  </si>
  <si>
    <t>Blacksmith</t>
  </si>
  <si>
    <t>Vampire</t>
  </si>
  <si>
    <t>Monk</t>
  </si>
  <si>
    <t>Wildkeeper</t>
  </si>
  <si>
    <t>Siren</t>
  </si>
  <si>
    <t>Necromancer</t>
  </si>
  <si>
    <t>Healer</t>
  </si>
  <si>
    <t>Fire Witch</t>
  </si>
  <si>
    <t>Paladin</t>
  </si>
  <si>
    <t>Engineer</t>
  </si>
  <si>
    <t>Water Mage</t>
  </si>
  <si>
    <t>Scavenger</t>
  </si>
  <si>
    <t>Bard</t>
  </si>
  <si>
    <t>Musketeer</t>
  </si>
  <si>
    <t>Earth Witch</t>
  </si>
  <si>
    <t>Stone Golem</t>
  </si>
  <si>
    <t>Harpy</t>
  </si>
  <si>
    <t>Alchemist</t>
  </si>
  <si>
    <t>Druid</t>
  </si>
  <si>
    <t>Hunter</t>
  </si>
  <si>
    <t>Spirit Mage</t>
  </si>
  <si>
    <t>Trapper</t>
  </si>
  <si>
    <t>General</t>
  </si>
  <si>
    <t>Archer</t>
  </si>
  <si>
    <t>Min. Skill Cost</t>
  </si>
  <si>
    <t>Avrg. Skill Cost</t>
  </si>
  <si>
    <t>Max. Skill Cost</t>
  </si>
  <si>
    <t>Rune Round</t>
  </si>
  <si>
    <t>Skill Round</t>
  </si>
  <si>
    <t>Start Skill Use</t>
  </si>
  <si>
    <t>Round</t>
  </si>
  <si>
    <t>Rune Gain</t>
  </si>
  <si>
    <t>Skill Amount</t>
  </si>
  <si>
    <t>Rune Amount</t>
  </si>
  <si>
    <t>Real SkU (Avrg)</t>
  </si>
  <si>
    <t>Skill Use Dif</t>
  </si>
  <si>
    <t>Real SkU (Max)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</si>
</sst>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A1B1A"/>
      <name val="Arial"/>
      <scheme val="minor"/>
    </font>
    <font>
      <b/>
      <i/>
      <color rgb="FF1A1B1A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10" xfId="0" applyFont="1" applyNumberFormat="1"/>
    <xf borderId="1" fillId="5" fontId="3" numFmtId="0" xfId="0" applyAlignment="1" applyBorder="1" applyFill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3" fillId="5" fontId="3" numFmtId="0" xfId="0" applyAlignment="1" applyBorder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4" fillId="6" fontId="1" numFmtId="0" xfId="0" applyAlignment="1" applyBorder="1" applyFont="1">
      <alignment horizontal="center" readingOrder="0"/>
    </xf>
    <xf borderId="4" fillId="6" fontId="2" numFmtId="0" xfId="0" applyAlignment="1" applyBorder="1" applyFont="1">
      <alignment horizontal="center" readingOrder="0"/>
    </xf>
    <xf borderId="5" fillId="6" fontId="1" numFmtId="0" xfId="0" applyAlignment="1" applyBorder="1" applyFont="1">
      <alignment horizontal="center" readingOrder="0"/>
    </xf>
    <xf borderId="6" fillId="6" fontId="2" numFmtId="0" xfId="0" applyAlignment="1" applyBorder="1" applyFont="1">
      <alignment horizontal="center" readingOrder="0"/>
    </xf>
    <xf borderId="6" fillId="6" fontId="1" numFmtId="0" xfId="0" applyAlignment="1" applyBorder="1" applyFont="1">
      <alignment horizontal="center" readingOrder="0"/>
    </xf>
    <xf borderId="7" fillId="6" fontId="2" numFmtId="0" xfId="0" applyAlignment="1" applyBorder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H2" s="3"/>
      <c r="I2" s="3"/>
      <c r="J2" s="4" t="s">
        <v>12</v>
      </c>
      <c r="K2" s="4" t="s">
        <v>13</v>
      </c>
      <c r="L2" s="4"/>
    </row>
    <row r="3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/>
      <c r="H3" s="3"/>
      <c r="I3" s="3"/>
      <c r="J3" s="4">
        <v>8.0</v>
      </c>
      <c r="K3" s="5">
        <f t="shared" ref="K3:K11" si="1">J3^2</f>
        <v>64</v>
      </c>
    </row>
    <row r="4">
      <c r="A4" s="1" t="s">
        <v>20</v>
      </c>
      <c r="B4" s="2" t="s">
        <v>21</v>
      </c>
      <c r="C4" s="2" t="s">
        <v>22</v>
      </c>
      <c r="D4" s="2" t="s">
        <v>23</v>
      </c>
      <c r="E4" s="3"/>
      <c r="F4" s="6"/>
      <c r="G4" s="3"/>
      <c r="H4" s="3"/>
      <c r="I4" s="3"/>
      <c r="J4" s="4">
        <v>9.0</v>
      </c>
      <c r="K4" s="5">
        <f t="shared" si="1"/>
        <v>81</v>
      </c>
      <c r="L4" s="7">
        <f t="shared" ref="L4:L11" si="2">K4/$K$3</f>
        <v>1.265625</v>
      </c>
    </row>
    <row r="5"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J5" s="4">
        <v>10.0</v>
      </c>
      <c r="K5" s="5">
        <f t="shared" si="1"/>
        <v>100</v>
      </c>
      <c r="L5" s="7">
        <f t="shared" si="2"/>
        <v>1.5625</v>
      </c>
    </row>
    <row r="6">
      <c r="A6" s="6"/>
      <c r="B6" s="2">
        <v>6.0</v>
      </c>
      <c r="C6" s="2">
        <v>2.0</v>
      </c>
      <c r="D6" s="2">
        <v>3.0</v>
      </c>
      <c r="E6" s="2">
        <v>3.0</v>
      </c>
      <c r="F6" s="2">
        <v>4.0</v>
      </c>
      <c r="J6" s="4">
        <v>11.0</v>
      </c>
      <c r="K6" s="5">
        <f t="shared" si="1"/>
        <v>121</v>
      </c>
      <c r="L6" s="7">
        <f t="shared" si="2"/>
        <v>1.890625</v>
      </c>
    </row>
    <row r="7">
      <c r="B7" s="2" t="s">
        <v>29</v>
      </c>
      <c r="C7" s="2" t="s">
        <v>30</v>
      </c>
      <c r="D7" s="2" t="s">
        <v>28</v>
      </c>
      <c r="J7" s="4">
        <v>12.0</v>
      </c>
      <c r="K7" s="5">
        <f t="shared" si="1"/>
        <v>144</v>
      </c>
      <c r="L7" s="7">
        <f t="shared" si="2"/>
        <v>2.25</v>
      </c>
    </row>
    <row r="8">
      <c r="B8" s="6">
        <v>5.0</v>
      </c>
      <c r="C8" s="6">
        <v>5.0</v>
      </c>
      <c r="D8" s="6">
        <v>8.0</v>
      </c>
      <c r="J8" s="4">
        <v>13.0</v>
      </c>
      <c r="K8" s="5">
        <f t="shared" si="1"/>
        <v>169</v>
      </c>
      <c r="L8" s="7">
        <f t="shared" si="2"/>
        <v>2.640625</v>
      </c>
    </row>
    <row r="9">
      <c r="J9" s="4">
        <v>14.0</v>
      </c>
      <c r="K9" s="5">
        <f t="shared" si="1"/>
        <v>196</v>
      </c>
      <c r="L9" s="7">
        <f t="shared" si="2"/>
        <v>3.0625</v>
      </c>
    </row>
    <row r="10">
      <c r="J10" s="4">
        <v>15.0</v>
      </c>
      <c r="K10" s="5">
        <f t="shared" si="1"/>
        <v>225</v>
      </c>
      <c r="L10" s="7">
        <f t="shared" si="2"/>
        <v>3.515625</v>
      </c>
    </row>
    <row r="11">
      <c r="A11" s="8" t="s">
        <v>31</v>
      </c>
      <c r="B11" s="8" t="s">
        <v>32</v>
      </c>
      <c r="C11" s="8" t="s">
        <v>33</v>
      </c>
      <c r="D11" s="8" t="s">
        <v>34</v>
      </c>
      <c r="J11" s="4">
        <v>16.0</v>
      </c>
      <c r="K11" s="5">
        <f t="shared" si="1"/>
        <v>256</v>
      </c>
      <c r="L11" s="7">
        <f t="shared" si="2"/>
        <v>4</v>
      </c>
    </row>
    <row r="12">
      <c r="A12" s="8">
        <v>12.0</v>
      </c>
      <c r="B12" s="8">
        <v>5.0</v>
      </c>
      <c r="C12" s="8">
        <v>4.0</v>
      </c>
      <c r="D12" s="5">
        <f t="shared" ref="D12:D14" si="3">A12-B12-C12</f>
        <v>3</v>
      </c>
      <c r="E12" s="4" t="s">
        <v>35</v>
      </c>
    </row>
    <row r="13">
      <c r="A13" s="4">
        <v>18.0</v>
      </c>
      <c r="B13" s="4">
        <v>5.0</v>
      </c>
      <c r="C13" s="8">
        <v>4.0</v>
      </c>
      <c r="D13" s="5">
        <f t="shared" si="3"/>
        <v>9</v>
      </c>
      <c r="E13" s="4" t="s">
        <v>36</v>
      </c>
    </row>
    <row r="14">
      <c r="A14" s="8">
        <v>20.0</v>
      </c>
      <c r="B14" s="8">
        <v>5.0</v>
      </c>
      <c r="C14" s="8">
        <v>8.0</v>
      </c>
      <c r="D14" s="5">
        <f t="shared" si="3"/>
        <v>7</v>
      </c>
      <c r="E14" s="8" t="s">
        <v>37</v>
      </c>
    </row>
    <row r="15">
      <c r="K15" s="4" t="s">
        <v>38</v>
      </c>
      <c r="L15" s="4" t="s">
        <v>39</v>
      </c>
      <c r="M15" s="4" t="s">
        <v>40</v>
      </c>
      <c r="N15" s="4" t="s">
        <v>41</v>
      </c>
      <c r="O15" s="4" t="s">
        <v>42</v>
      </c>
    </row>
    <row r="16">
      <c r="A16" s="9" t="s">
        <v>43</v>
      </c>
      <c r="B16" s="9" t="s">
        <v>44</v>
      </c>
      <c r="C16" s="10" t="s">
        <v>45</v>
      </c>
      <c r="D16" s="9" t="s">
        <v>46</v>
      </c>
      <c r="E16" s="9" t="s">
        <v>47</v>
      </c>
      <c r="F16" s="9" t="s">
        <v>48</v>
      </c>
      <c r="G16" s="9" t="s">
        <v>49</v>
      </c>
      <c r="K16" s="4">
        <v>-2.0</v>
      </c>
      <c r="L16" s="4">
        <v>-1.0</v>
      </c>
      <c r="M16" s="4">
        <v>0.0</v>
      </c>
      <c r="N16" s="4">
        <v>0.0</v>
      </c>
      <c r="O16" s="4">
        <v>0.0</v>
      </c>
    </row>
    <row r="17">
      <c r="A17" s="10" t="s">
        <v>50</v>
      </c>
      <c r="B17" s="9" t="s">
        <v>51</v>
      </c>
      <c r="C17" s="10" t="s">
        <v>52</v>
      </c>
      <c r="D17" s="10" t="s">
        <v>53</v>
      </c>
      <c r="E17" s="9" t="s">
        <v>54</v>
      </c>
      <c r="F17" s="9" t="s">
        <v>55</v>
      </c>
      <c r="G17" s="9" t="s">
        <v>56</v>
      </c>
      <c r="J17" s="4" t="s">
        <v>57</v>
      </c>
      <c r="K17" s="5">
        <f t="shared" ref="K17:O17" si="4">3+K16</f>
        <v>1</v>
      </c>
      <c r="L17" s="5">
        <f t="shared" si="4"/>
        <v>2</v>
      </c>
      <c r="M17" s="5">
        <f t="shared" si="4"/>
        <v>3</v>
      </c>
      <c r="N17" s="5">
        <f t="shared" si="4"/>
        <v>3</v>
      </c>
      <c r="O17" s="5">
        <f t="shared" si="4"/>
        <v>3</v>
      </c>
    </row>
    <row r="18">
      <c r="A18" s="10" t="s">
        <v>58</v>
      </c>
      <c r="B18" s="9" t="s">
        <v>59</v>
      </c>
      <c r="C18" s="10" t="s">
        <v>60</v>
      </c>
      <c r="D18" s="9" t="s">
        <v>61</v>
      </c>
      <c r="E18" s="10" t="s">
        <v>62</v>
      </c>
      <c r="F18" s="9" t="s">
        <v>63</v>
      </c>
      <c r="G18" s="9" t="s">
        <v>64</v>
      </c>
      <c r="J18" s="4" t="s">
        <v>65</v>
      </c>
      <c r="K18" s="5">
        <f t="shared" ref="K18:O18" si="5">4+K16</f>
        <v>2</v>
      </c>
      <c r="L18" s="5">
        <f t="shared" si="5"/>
        <v>3</v>
      </c>
      <c r="M18" s="5">
        <f t="shared" si="5"/>
        <v>4</v>
      </c>
      <c r="N18" s="5">
        <f t="shared" si="5"/>
        <v>4</v>
      </c>
      <c r="O18" s="5">
        <f t="shared" si="5"/>
        <v>4</v>
      </c>
    </row>
    <row r="19">
      <c r="A19" s="10" t="s">
        <v>66</v>
      </c>
      <c r="B19" s="9" t="s">
        <v>67</v>
      </c>
      <c r="C19" s="10" t="s">
        <v>68</v>
      </c>
      <c r="D19" s="10" t="s">
        <v>69</v>
      </c>
      <c r="E19" s="9" t="s">
        <v>70</v>
      </c>
      <c r="F19" s="9" t="s">
        <v>71</v>
      </c>
      <c r="G19" s="9" t="s">
        <v>72</v>
      </c>
      <c r="H19" s="3"/>
      <c r="J19" s="3"/>
    </row>
    <row r="20">
      <c r="A20" s="10" t="s">
        <v>73</v>
      </c>
      <c r="C20" s="10" t="s">
        <v>74</v>
      </c>
      <c r="D20" s="9" t="s">
        <v>75</v>
      </c>
      <c r="E20" s="9" t="s">
        <v>76</v>
      </c>
      <c r="F20" s="10" t="s">
        <v>77</v>
      </c>
      <c r="G20" s="9" t="s">
        <v>78</v>
      </c>
      <c r="H20" s="3"/>
      <c r="J20" s="3"/>
    </row>
    <row r="21">
      <c r="A21" s="9" t="s">
        <v>79</v>
      </c>
      <c r="D21" s="10" t="s">
        <v>80</v>
      </c>
      <c r="E21" s="9" t="s">
        <v>81</v>
      </c>
      <c r="F21" s="9" t="s">
        <v>82</v>
      </c>
      <c r="G21" s="3"/>
      <c r="H21" s="3"/>
      <c r="J21" s="3"/>
    </row>
    <row r="22">
      <c r="A22" s="9" t="s">
        <v>83</v>
      </c>
      <c r="D22" s="9" t="s">
        <v>84</v>
      </c>
      <c r="E22" s="9" t="s">
        <v>85</v>
      </c>
      <c r="F22" s="3"/>
      <c r="G22" s="3"/>
      <c r="H22" s="3"/>
      <c r="J22" s="3"/>
    </row>
    <row r="23">
      <c r="B23" s="3"/>
      <c r="D23" s="10" t="s">
        <v>86</v>
      </c>
      <c r="F23" s="3"/>
      <c r="G23" s="3"/>
      <c r="I23" s="3"/>
      <c r="J23" s="4" t="s">
        <v>87</v>
      </c>
      <c r="K23" s="11" t="s">
        <v>88</v>
      </c>
      <c r="L23" s="4" t="s">
        <v>89</v>
      </c>
      <c r="M23" s="4" t="s">
        <v>90</v>
      </c>
      <c r="N23" s="4" t="s">
        <v>91</v>
      </c>
    </row>
    <row r="24">
      <c r="B24" s="3"/>
      <c r="D24" s="10" t="s">
        <v>92</v>
      </c>
      <c r="F24" s="3"/>
      <c r="G24" s="3"/>
      <c r="I24" s="4" t="s">
        <v>20</v>
      </c>
      <c r="J24" s="12">
        <v>-1.0</v>
      </c>
      <c r="K24" s="12">
        <v>0.0</v>
      </c>
      <c r="L24" s="12">
        <v>1.0</v>
      </c>
      <c r="M24" s="12">
        <v>0.0</v>
      </c>
      <c r="N24" s="12">
        <v>0.0</v>
      </c>
      <c r="O24" s="13"/>
    </row>
    <row r="25">
      <c r="B25" s="3"/>
      <c r="C25" s="3"/>
      <c r="F25" s="3"/>
      <c r="G25" s="3"/>
      <c r="I25" s="4" t="s">
        <v>6</v>
      </c>
      <c r="J25" s="12">
        <v>1.0</v>
      </c>
      <c r="K25" s="12">
        <v>0.0</v>
      </c>
      <c r="L25" s="12">
        <v>-1.0</v>
      </c>
      <c r="M25" s="12">
        <v>0.0</v>
      </c>
      <c r="N25" s="12">
        <v>0.0</v>
      </c>
      <c r="O25" s="13"/>
    </row>
    <row r="26">
      <c r="A26" s="2">
        <v>3.0</v>
      </c>
      <c r="B26" s="2">
        <v>6.0</v>
      </c>
      <c r="C26" s="2">
        <v>6.0</v>
      </c>
      <c r="D26" s="2">
        <v>6.0</v>
      </c>
      <c r="E26" s="2">
        <v>6.0</v>
      </c>
      <c r="F26" s="2">
        <v>6.0</v>
      </c>
      <c r="G26" s="4" t="s">
        <v>93</v>
      </c>
      <c r="I26" s="4" t="s">
        <v>0</v>
      </c>
      <c r="J26" s="12">
        <v>-1.0</v>
      </c>
      <c r="K26" s="12">
        <v>1.0</v>
      </c>
      <c r="L26" s="12">
        <v>0.0</v>
      </c>
      <c r="M26" s="12">
        <v>0.0</v>
      </c>
      <c r="N26" s="12">
        <v>0.0</v>
      </c>
      <c r="O26" s="13"/>
    </row>
    <row r="27">
      <c r="A27" s="2">
        <v>3.0</v>
      </c>
      <c r="B27" s="2">
        <v>5.0</v>
      </c>
      <c r="C27" s="2">
        <v>5.0</v>
      </c>
      <c r="D27" s="2">
        <v>3.0</v>
      </c>
      <c r="E27" s="2">
        <v>5.0</v>
      </c>
      <c r="F27" s="2">
        <v>3.0</v>
      </c>
      <c r="G27" s="4" t="s">
        <v>94</v>
      </c>
      <c r="I27" s="4" t="s">
        <v>14</v>
      </c>
      <c r="J27" s="12">
        <v>0.0</v>
      </c>
      <c r="K27" s="12">
        <v>-1.0</v>
      </c>
      <c r="L27" s="12">
        <v>1.0</v>
      </c>
      <c r="M27" s="12">
        <v>0.0</v>
      </c>
      <c r="N27" s="12">
        <v>0.0</v>
      </c>
      <c r="O27" s="13"/>
    </row>
    <row r="28">
      <c r="A28" s="3">
        <f t="shared" ref="A28:F28" si="6">A26+A27</f>
        <v>6</v>
      </c>
      <c r="B28" s="3">
        <f t="shared" si="6"/>
        <v>11</v>
      </c>
      <c r="C28" s="3">
        <f t="shared" si="6"/>
        <v>11</v>
      </c>
      <c r="D28" s="3">
        <f t="shared" si="6"/>
        <v>9</v>
      </c>
      <c r="E28" s="3">
        <f t="shared" si="6"/>
        <v>11</v>
      </c>
      <c r="F28" s="3">
        <f t="shared" si="6"/>
        <v>9</v>
      </c>
      <c r="G28" s="4" t="s">
        <v>95</v>
      </c>
    </row>
    <row r="29">
      <c r="A29" s="14">
        <f t="shared" ref="A29:F29" si="7">A28/(18*3+3)</f>
        <v>0.1052631579</v>
      </c>
      <c r="B29" s="14">
        <f t="shared" si="7"/>
        <v>0.1929824561</v>
      </c>
      <c r="C29" s="14">
        <f t="shared" si="7"/>
        <v>0.1929824561</v>
      </c>
      <c r="D29" s="14">
        <f t="shared" si="7"/>
        <v>0.1578947368</v>
      </c>
      <c r="E29" s="14">
        <f t="shared" si="7"/>
        <v>0.1929824561</v>
      </c>
      <c r="F29" s="14">
        <f t="shared" si="7"/>
        <v>0.1578947368</v>
      </c>
      <c r="G29" s="4" t="s">
        <v>96</v>
      </c>
      <c r="H29" s="14">
        <f>1-SUM(A29:F29)</f>
        <v>0</v>
      </c>
      <c r="I29" s="4"/>
      <c r="J29" s="12">
        <v>-1.0</v>
      </c>
      <c r="K29" s="12">
        <v>0.0</v>
      </c>
      <c r="L29" s="12">
        <v>1.0</v>
      </c>
      <c r="M29" s="12">
        <v>0.0</v>
      </c>
      <c r="N29" s="12">
        <v>0.0</v>
      </c>
    </row>
    <row r="30">
      <c r="A30" s="15" t="s">
        <v>97</v>
      </c>
      <c r="B30" s="16" t="s">
        <v>98</v>
      </c>
      <c r="C30" s="16" t="s">
        <v>99</v>
      </c>
      <c r="D30" s="16" t="s">
        <v>100</v>
      </c>
      <c r="E30" s="16" t="s">
        <v>101</v>
      </c>
      <c r="F30" s="17" t="s">
        <v>102</v>
      </c>
      <c r="H30" s="14">
        <f>((18*3+3)/6)/(18*3+3)</f>
        <v>0.1666666667</v>
      </c>
      <c r="J30" s="12">
        <v>1.0</v>
      </c>
      <c r="K30" s="12">
        <v>-1.0</v>
      </c>
      <c r="L30" s="12">
        <v>-1.0</v>
      </c>
      <c r="M30" s="12">
        <v>1.0</v>
      </c>
      <c r="N30" s="12">
        <v>0.0</v>
      </c>
    </row>
    <row r="31">
      <c r="A31" s="18" t="s">
        <v>103</v>
      </c>
      <c r="B31" s="18" t="s">
        <v>104</v>
      </c>
      <c r="C31" s="18" t="s">
        <v>105</v>
      </c>
      <c r="D31" s="18" t="s">
        <v>106</v>
      </c>
      <c r="E31" s="19" t="s">
        <v>107</v>
      </c>
      <c r="F31" s="20" t="s">
        <v>108</v>
      </c>
      <c r="J31" s="12">
        <v>-1.0</v>
      </c>
      <c r="K31" s="12">
        <v>1.0</v>
      </c>
      <c r="L31" s="12">
        <v>1.0</v>
      </c>
      <c r="M31" s="12">
        <v>0.0</v>
      </c>
      <c r="N31" s="12">
        <v>1.0</v>
      </c>
    </row>
    <row r="32">
      <c r="A32" s="18" t="s">
        <v>109</v>
      </c>
      <c r="B32" s="18" t="s">
        <v>110</v>
      </c>
      <c r="C32" s="18" t="s">
        <v>111</v>
      </c>
      <c r="D32" s="18" t="s">
        <v>112</v>
      </c>
      <c r="E32" s="18" t="s">
        <v>113</v>
      </c>
      <c r="F32" s="21" t="s">
        <v>114</v>
      </c>
      <c r="J32" s="12">
        <v>0.0</v>
      </c>
      <c r="K32" s="12">
        <v>-1.0</v>
      </c>
      <c r="L32" s="12">
        <v>1.0</v>
      </c>
      <c r="M32" s="12">
        <v>0.0</v>
      </c>
      <c r="N32" s="12">
        <v>0.0</v>
      </c>
    </row>
    <row r="33">
      <c r="A33" s="22" t="s">
        <v>115</v>
      </c>
      <c r="B33" s="23" t="s">
        <v>116</v>
      </c>
      <c r="C33" s="24" t="s">
        <v>117</v>
      </c>
      <c r="D33" s="24" t="s">
        <v>118</v>
      </c>
      <c r="E33" s="23" t="s">
        <v>119</v>
      </c>
      <c r="F33" s="25" t="s">
        <v>120</v>
      </c>
    </row>
    <row r="35">
      <c r="A35" s="6" t="s">
        <v>121</v>
      </c>
      <c r="B35" s="6" t="s">
        <v>122</v>
      </c>
      <c r="C35" s="6" t="s">
        <v>123</v>
      </c>
      <c r="D35" s="6" t="s">
        <v>124</v>
      </c>
      <c r="E35" s="6" t="s">
        <v>125</v>
      </c>
    </row>
    <row r="36">
      <c r="B36" s="6" t="s">
        <v>126</v>
      </c>
      <c r="C36" s="6" t="s">
        <v>127</v>
      </c>
    </row>
    <row r="37">
      <c r="B37" s="4"/>
    </row>
    <row r="38">
      <c r="B38" s="4"/>
      <c r="C38" s="4"/>
      <c r="D38" s="4"/>
    </row>
    <row r="39">
      <c r="C39" s="4"/>
      <c r="D39" s="4"/>
    </row>
    <row r="40">
      <c r="C40" s="4"/>
      <c r="D40" s="4"/>
    </row>
    <row r="41">
      <c r="C41" s="4"/>
    </row>
  </sheetData>
  <conditionalFormatting sqref="G29:G44">
    <cfRule type="colorScale" priority="1">
      <colorScale>
        <cfvo type="formula" val="0"/>
        <cfvo type="formula" val="4"/>
        <color rgb="FFFFFFFF"/>
        <color rgb="FFFFD666"/>
      </colorScale>
    </cfRule>
  </conditionalFormatting>
  <conditionalFormatting sqref="I29:I32 H33:H44">
    <cfRule type="colorScale" priority="2">
      <colorScale>
        <cfvo type="formula" val="0"/>
        <cfvo type="formula" val="4"/>
        <color rgb="FFFFFFFF"/>
        <color rgb="FFFFD666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128</v>
      </c>
      <c r="B1" s="8" t="s">
        <v>129</v>
      </c>
      <c r="C1" s="8" t="s">
        <v>130</v>
      </c>
      <c r="D1" s="8" t="s">
        <v>131</v>
      </c>
      <c r="E1" s="8" t="s">
        <v>132</v>
      </c>
      <c r="F1" s="8" t="s">
        <v>133</v>
      </c>
    </row>
    <row r="2">
      <c r="A2" s="8">
        <v>1.0</v>
      </c>
      <c r="B2" s="8">
        <v>2.59</v>
      </c>
      <c r="C2" s="8">
        <v>4.0</v>
      </c>
      <c r="D2" s="8">
        <v>7.0</v>
      </c>
      <c r="E2" s="8">
        <v>10.0</v>
      </c>
      <c r="F2" s="4">
        <v>5.0</v>
      </c>
    </row>
    <row r="4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  <c r="G4" s="8" t="s">
        <v>140</v>
      </c>
      <c r="H4" s="8" t="s">
        <v>139</v>
      </c>
    </row>
    <row r="5">
      <c r="A5" s="8">
        <v>1.0</v>
      </c>
      <c r="B5" s="26">
        <f t="shared" ref="B5:B43" si="1">IF(AND(ISNUMBER(B4),MOD(A5,$D$2)=0),B4+1,IF(ISNUMBER(B4),B4,1))</f>
        <v>1</v>
      </c>
      <c r="C5" s="26">
        <f t="shared" ref="C5:C43" si="2">IF(AND(ISNUMBER(C4),MOD(A5,$E$2)=0),C4+1,IF(ISNUMBER(C4),C4,2))</f>
        <v>2</v>
      </c>
      <c r="D5" s="5">
        <f>IFERROR(D4+B5,4+B5)</f>
        <v>5</v>
      </c>
      <c r="E5" s="5">
        <f t="shared" ref="E5:E43" si="3">IF($F$2&lt;=A5,MIN(C5, FLOOR((D5-SUM($E$4:$E4)*$B$2)/$B$2, 1)),0)</f>
        <v>0</v>
      </c>
      <c r="F5" s="5">
        <f t="shared" ref="F5:F43" si="4">C5-E5</f>
        <v>2</v>
      </c>
      <c r="G5" s="5">
        <f t="shared" ref="G5:G43" si="5">IF($F$2&lt;=A5,MIN(C5, FLOOR((D5-SUM($G$4:$G4)*$C$2)/$C$2, 1)),0)</f>
        <v>0</v>
      </c>
      <c r="H5" s="5">
        <f t="shared" ref="H5:H43" si="6">C5-G5</f>
        <v>2</v>
      </c>
    </row>
    <row r="6">
      <c r="A6" s="8">
        <v>2.0</v>
      </c>
      <c r="B6" s="26">
        <f t="shared" si="1"/>
        <v>1</v>
      </c>
      <c r="C6" s="26">
        <f t="shared" si="2"/>
        <v>2</v>
      </c>
      <c r="D6" s="5">
        <f t="shared" ref="D6:D43" si="7">IFERROR(D5+B6,2+B6)</f>
        <v>6</v>
      </c>
      <c r="E6" s="5">
        <f t="shared" si="3"/>
        <v>0</v>
      </c>
      <c r="F6" s="5">
        <f t="shared" si="4"/>
        <v>2</v>
      </c>
      <c r="G6" s="5">
        <f t="shared" si="5"/>
        <v>0</v>
      </c>
      <c r="H6" s="5">
        <f t="shared" si="6"/>
        <v>2</v>
      </c>
    </row>
    <row r="7">
      <c r="A7" s="8">
        <v>3.0</v>
      </c>
      <c r="B7" s="26">
        <f t="shared" si="1"/>
        <v>1</v>
      </c>
      <c r="C7" s="26">
        <f t="shared" si="2"/>
        <v>2</v>
      </c>
      <c r="D7" s="5">
        <f t="shared" si="7"/>
        <v>7</v>
      </c>
      <c r="E7" s="5">
        <f t="shared" si="3"/>
        <v>0</v>
      </c>
      <c r="F7" s="5">
        <f t="shared" si="4"/>
        <v>2</v>
      </c>
      <c r="G7" s="5">
        <f t="shared" si="5"/>
        <v>0</v>
      </c>
      <c r="H7" s="5">
        <f t="shared" si="6"/>
        <v>2</v>
      </c>
    </row>
    <row r="8">
      <c r="A8" s="8">
        <v>4.0</v>
      </c>
      <c r="B8" s="26">
        <f t="shared" si="1"/>
        <v>1</v>
      </c>
      <c r="C8" s="26">
        <f t="shared" si="2"/>
        <v>2</v>
      </c>
      <c r="D8" s="5">
        <f t="shared" si="7"/>
        <v>8</v>
      </c>
      <c r="E8" s="5">
        <f t="shared" si="3"/>
        <v>0</v>
      </c>
      <c r="F8" s="5">
        <f t="shared" si="4"/>
        <v>2</v>
      </c>
      <c r="G8" s="5">
        <f t="shared" si="5"/>
        <v>0</v>
      </c>
      <c r="H8" s="5">
        <f t="shared" si="6"/>
        <v>2</v>
      </c>
    </row>
    <row r="9">
      <c r="A9" s="8">
        <v>5.0</v>
      </c>
      <c r="B9" s="26">
        <f t="shared" si="1"/>
        <v>1</v>
      </c>
      <c r="C9" s="26">
        <f t="shared" si="2"/>
        <v>2</v>
      </c>
      <c r="D9" s="5">
        <f t="shared" si="7"/>
        <v>9</v>
      </c>
      <c r="E9" s="5">
        <f t="shared" si="3"/>
        <v>2</v>
      </c>
      <c r="F9" s="5">
        <f t="shared" si="4"/>
        <v>0</v>
      </c>
      <c r="G9" s="5">
        <f t="shared" si="5"/>
        <v>2</v>
      </c>
      <c r="H9" s="5">
        <f t="shared" si="6"/>
        <v>0</v>
      </c>
    </row>
    <row r="10">
      <c r="A10" s="8">
        <v>6.0</v>
      </c>
      <c r="B10" s="26">
        <f t="shared" si="1"/>
        <v>1</v>
      </c>
      <c r="C10" s="26">
        <f t="shared" si="2"/>
        <v>2</v>
      </c>
      <c r="D10" s="5">
        <f t="shared" si="7"/>
        <v>10</v>
      </c>
      <c r="E10" s="5">
        <f t="shared" si="3"/>
        <v>1</v>
      </c>
      <c r="F10" s="5">
        <f t="shared" si="4"/>
        <v>1</v>
      </c>
      <c r="G10" s="5">
        <f t="shared" si="5"/>
        <v>0</v>
      </c>
      <c r="H10" s="5">
        <f t="shared" si="6"/>
        <v>2</v>
      </c>
    </row>
    <row r="11">
      <c r="A11" s="8">
        <v>7.0</v>
      </c>
      <c r="B11" s="26">
        <f t="shared" si="1"/>
        <v>2</v>
      </c>
      <c r="C11" s="26">
        <f t="shared" si="2"/>
        <v>2</v>
      </c>
      <c r="D11" s="5">
        <f t="shared" si="7"/>
        <v>12</v>
      </c>
      <c r="E11" s="5">
        <f t="shared" si="3"/>
        <v>1</v>
      </c>
      <c r="F11" s="5">
        <f t="shared" si="4"/>
        <v>1</v>
      </c>
      <c r="G11" s="5">
        <f t="shared" si="5"/>
        <v>1</v>
      </c>
      <c r="H11" s="5">
        <f t="shared" si="6"/>
        <v>1</v>
      </c>
    </row>
    <row r="12">
      <c r="A12" s="8">
        <v>8.0</v>
      </c>
      <c r="B12" s="26">
        <f t="shared" si="1"/>
        <v>2</v>
      </c>
      <c r="C12" s="26">
        <f t="shared" si="2"/>
        <v>2</v>
      </c>
      <c r="D12" s="5">
        <f t="shared" si="7"/>
        <v>14</v>
      </c>
      <c r="E12" s="5">
        <f t="shared" si="3"/>
        <v>1</v>
      </c>
      <c r="F12" s="5">
        <f t="shared" si="4"/>
        <v>1</v>
      </c>
      <c r="G12" s="5">
        <f t="shared" si="5"/>
        <v>0</v>
      </c>
      <c r="H12" s="5">
        <f t="shared" si="6"/>
        <v>2</v>
      </c>
    </row>
    <row r="13">
      <c r="A13" s="8">
        <v>9.0</v>
      </c>
      <c r="B13" s="26">
        <f t="shared" si="1"/>
        <v>2</v>
      </c>
      <c r="C13" s="26">
        <f t="shared" si="2"/>
        <v>2</v>
      </c>
      <c r="D13" s="5">
        <f t="shared" si="7"/>
        <v>16</v>
      </c>
      <c r="E13" s="5">
        <f t="shared" si="3"/>
        <v>1</v>
      </c>
      <c r="F13" s="5">
        <f t="shared" si="4"/>
        <v>1</v>
      </c>
      <c r="G13" s="5">
        <f t="shared" si="5"/>
        <v>1</v>
      </c>
      <c r="H13" s="5">
        <f t="shared" si="6"/>
        <v>1</v>
      </c>
    </row>
    <row r="14">
      <c r="A14" s="8">
        <v>10.0</v>
      </c>
      <c r="B14" s="26">
        <f t="shared" si="1"/>
        <v>2</v>
      </c>
      <c r="C14" s="26">
        <f t="shared" si="2"/>
        <v>3</v>
      </c>
      <c r="D14" s="5">
        <f t="shared" si="7"/>
        <v>18</v>
      </c>
      <c r="E14" s="5">
        <f t="shared" si="3"/>
        <v>0</v>
      </c>
      <c r="F14" s="5">
        <f t="shared" si="4"/>
        <v>3</v>
      </c>
      <c r="G14" s="5">
        <f t="shared" si="5"/>
        <v>0</v>
      </c>
      <c r="H14" s="5">
        <f t="shared" si="6"/>
        <v>3</v>
      </c>
    </row>
    <row r="15">
      <c r="A15" s="8">
        <v>11.0</v>
      </c>
      <c r="B15" s="26">
        <f t="shared" si="1"/>
        <v>2</v>
      </c>
      <c r="C15" s="26">
        <f t="shared" si="2"/>
        <v>3</v>
      </c>
      <c r="D15" s="5">
        <f t="shared" si="7"/>
        <v>20</v>
      </c>
      <c r="E15" s="5">
        <f t="shared" si="3"/>
        <v>1</v>
      </c>
      <c r="F15" s="5">
        <f t="shared" si="4"/>
        <v>2</v>
      </c>
      <c r="G15" s="5">
        <f t="shared" si="5"/>
        <v>1</v>
      </c>
      <c r="H15" s="5">
        <f t="shared" si="6"/>
        <v>2</v>
      </c>
    </row>
    <row r="16">
      <c r="A16" s="8">
        <v>12.0</v>
      </c>
      <c r="B16" s="26">
        <f t="shared" si="1"/>
        <v>2</v>
      </c>
      <c r="C16" s="26">
        <f t="shared" si="2"/>
        <v>3</v>
      </c>
      <c r="D16" s="5">
        <f t="shared" si="7"/>
        <v>22</v>
      </c>
      <c r="E16" s="5">
        <f t="shared" si="3"/>
        <v>1</v>
      </c>
      <c r="F16" s="5">
        <f t="shared" si="4"/>
        <v>2</v>
      </c>
      <c r="G16" s="5">
        <f t="shared" si="5"/>
        <v>0</v>
      </c>
      <c r="H16" s="5">
        <f t="shared" si="6"/>
        <v>3</v>
      </c>
    </row>
    <row r="17">
      <c r="A17" s="8">
        <v>13.0</v>
      </c>
      <c r="B17" s="26">
        <f t="shared" si="1"/>
        <v>2</v>
      </c>
      <c r="C17" s="26">
        <f t="shared" si="2"/>
        <v>3</v>
      </c>
      <c r="D17" s="5">
        <f t="shared" si="7"/>
        <v>24</v>
      </c>
      <c r="E17" s="5">
        <f t="shared" si="3"/>
        <v>1</v>
      </c>
      <c r="F17" s="5">
        <f t="shared" si="4"/>
        <v>2</v>
      </c>
      <c r="G17" s="5">
        <f t="shared" si="5"/>
        <v>1</v>
      </c>
      <c r="H17" s="5">
        <f t="shared" si="6"/>
        <v>2</v>
      </c>
    </row>
    <row r="18">
      <c r="A18" s="8">
        <v>14.0</v>
      </c>
      <c r="B18" s="26">
        <f t="shared" si="1"/>
        <v>3</v>
      </c>
      <c r="C18" s="26">
        <f t="shared" si="2"/>
        <v>3</v>
      </c>
      <c r="D18" s="5">
        <f t="shared" si="7"/>
        <v>27</v>
      </c>
      <c r="E18" s="5">
        <f t="shared" si="3"/>
        <v>1</v>
      </c>
      <c r="F18" s="5">
        <f t="shared" si="4"/>
        <v>2</v>
      </c>
      <c r="G18" s="5">
        <f t="shared" si="5"/>
        <v>0</v>
      </c>
      <c r="H18" s="5">
        <f t="shared" si="6"/>
        <v>3</v>
      </c>
    </row>
    <row r="19">
      <c r="A19" s="8">
        <v>15.0</v>
      </c>
      <c r="B19" s="26">
        <f t="shared" si="1"/>
        <v>3</v>
      </c>
      <c r="C19" s="26">
        <f t="shared" si="2"/>
        <v>3</v>
      </c>
      <c r="D19" s="5">
        <f t="shared" si="7"/>
        <v>30</v>
      </c>
      <c r="E19" s="5">
        <f t="shared" si="3"/>
        <v>1</v>
      </c>
      <c r="F19" s="5">
        <f t="shared" si="4"/>
        <v>2</v>
      </c>
      <c r="G19" s="5">
        <f t="shared" si="5"/>
        <v>1</v>
      </c>
      <c r="H19" s="5">
        <f t="shared" si="6"/>
        <v>2</v>
      </c>
    </row>
    <row r="20">
      <c r="A20" s="8">
        <v>16.0</v>
      </c>
      <c r="B20" s="26">
        <f t="shared" si="1"/>
        <v>3</v>
      </c>
      <c r="C20" s="26">
        <f t="shared" si="2"/>
        <v>3</v>
      </c>
      <c r="D20" s="5">
        <f t="shared" si="7"/>
        <v>33</v>
      </c>
      <c r="E20" s="5">
        <f t="shared" si="3"/>
        <v>1</v>
      </c>
      <c r="F20" s="5">
        <f t="shared" si="4"/>
        <v>2</v>
      </c>
      <c r="G20" s="5">
        <f t="shared" si="5"/>
        <v>1</v>
      </c>
      <c r="H20" s="5">
        <f t="shared" si="6"/>
        <v>2</v>
      </c>
    </row>
    <row r="21">
      <c r="A21" s="8">
        <v>17.0</v>
      </c>
      <c r="B21" s="26">
        <f t="shared" si="1"/>
        <v>3</v>
      </c>
      <c r="C21" s="26">
        <f t="shared" si="2"/>
        <v>3</v>
      </c>
      <c r="D21" s="5">
        <f t="shared" si="7"/>
        <v>36</v>
      </c>
      <c r="E21" s="5">
        <f t="shared" si="3"/>
        <v>1</v>
      </c>
      <c r="F21" s="5">
        <f t="shared" si="4"/>
        <v>2</v>
      </c>
      <c r="G21" s="5">
        <f t="shared" si="5"/>
        <v>1</v>
      </c>
      <c r="H21" s="5">
        <f t="shared" si="6"/>
        <v>2</v>
      </c>
    </row>
    <row r="22">
      <c r="A22" s="8">
        <v>18.0</v>
      </c>
      <c r="B22" s="26">
        <f t="shared" si="1"/>
        <v>3</v>
      </c>
      <c r="C22" s="26">
        <f t="shared" si="2"/>
        <v>3</v>
      </c>
      <c r="D22" s="5">
        <f t="shared" si="7"/>
        <v>39</v>
      </c>
      <c r="E22" s="5">
        <f t="shared" si="3"/>
        <v>2</v>
      </c>
      <c r="F22" s="5">
        <f t="shared" si="4"/>
        <v>1</v>
      </c>
      <c r="G22" s="5">
        <f t="shared" si="5"/>
        <v>0</v>
      </c>
      <c r="H22" s="5">
        <f t="shared" si="6"/>
        <v>3</v>
      </c>
    </row>
    <row r="23">
      <c r="A23" s="8">
        <v>19.0</v>
      </c>
      <c r="B23" s="26">
        <f t="shared" si="1"/>
        <v>3</v>
      </c>
      <c r="C23" s="26">
        <f t="shared" si="2"/>
        <v>3</v>
      </c>
      <c r="D23" s="5">
        <f t="shared" si="7"/>
        <v>42</v>
      </c>
      <c r="E23" s="5">
        <f t="shared" si="3"/>
        <v>1</v>
      </c>
      <c r="F23" s="5">
        <f t="shared" si="4"/>
        <v>2</v>
      </c>
      <c r="G23" s="5">
        <f t="shared" si="5"/>
        <v>1</v>
      </c>
      <c r="H23" s="5">
        <f t="shared" si="6"/>
        <v>2</v>
      </c>
    </row>
    <row r="24">
      <c r="A24" s="8">
        <v>20.0</v>
      </c>
      <c r="B24" s="26">
        <f t="shared" si="1"/>
        <v>3</v>
      </c>
      <c r="C24" s="26">
        <f t="shared" si="2"/>
        <v>4</v>
      </c>
      <c r="D24" s="5">
        <f t="shared" si="7"/>
        <v>45</v>
      </c>
      <c r="E24" s="5">
        <f t="shared" si="3"/>
        <v>1</v>
      </c>
      <c r="F24" s="5">
        <f t="shared" si="4"/>
        <v>3</v>
      </c>
      <c r="G24" s="5">
        <f t="shared" si="5"/>
        <v>1</v>
      </c>
      <c r="H24" s="5">
        <f t="shared" si="6"/>
        <v>3</v>
      </c>
    </row>
    <row r="25">
      <c r="A25" s="8">
        <v>21.0</v>
      </c>
      <c r="B25" s="26">
        <f t="shared" si="1"/>
        <v>4</v>
      </c>
      <c r="C25" s="26">
        <f t="shared" si="2"/>
        <v>4</v>
      </c>
      <c r="D25" s="5">
        <f t="shared" si="7"/>
        <v>49</v>
      </c>
      <c r="E25" s="5">
        <f t="shared" si="3"/>
        <v>1</v>
      </c>
      <c r="F25" s="5">
        <f t="shared" si="4"/>
        <v>3</v>
      </c>
      <c r="G25" s="5">
        <f t="shared" si="5"/>
        <v>1</v>
      </c>
      <c r="H25" s="5">
        <f t="shared" si="6"/>
        <v>3</v>
      </c>
    </row>
    <row r="26">
      <c r="A26" s="8">
        <v>22.0</v>
      </c>
      <c r="B26" s="26">
        <f t="shared" si="1"/>
        <v>4</v>
      </c>
      <c r="C26" s="26">
        <f t="shared" si="2"/>
        <v>4</v>
      </c>
      <c r="D26" s="5">
        <f t="shared" si="7"/>
        <v>53</v>
      </c>
      <c r="E26" s="5">
        <f t="shared" si="3"/>
        <v>2</v>
      </c>
      <c r="F26" s="5">
        <f t="shared" si="4"/>
        <v>2</v>
      </c>
      <c r="G26" s="5">
        <f t="shared" si="5"/>
        <v>1</v>
      </c>
      <c r="H26" s="5">
        <f t="shared" si="6"/>
        <v>3</v>
      </c>
    </row>
    <row r="27">
      <c r="A27" s="8">
        <v>23.0</v>
      </c>
      <c r="B27" s="26">
        <f t="shared" si="1"/>
        <v>4</v>
      </c>
      <c r="C27" s="26">
        <f t="shared" si="2"/>
        <v>4</v>
      </c>
      <c r="D27" s="5">
        <f t="shared" si="7"/>
        <v>57</v>
      </c>
      <c r="E27" s="5">
        <f t="shared" si="3"/>
        <v>2</v>
      </c>
      <c r="F27" s="5">
        <f t="shared" si="4"/>
        <v>2</v>
      </c>
      <c r="G27" s="5">
        <f t="shared" si="5"/>
        <v>1</v>
      </c>
      <c r="H27" s="5">
        <f t="shared" si="6"/>
        <v>3</v>
      </c>
    </row>
    <row r="28">
      <c r="A28" s="8">
        <v>24.0</v>
      </c>
      <c r="B28" s="26">
        <f t="shared" si="1"/>
        <v>4</v>
      </c>
      <c r="C28" s="26">
        <f t="shared" si="2"/>
        <v>4</v>
      </c>
      <c r="D28" s="5">
        <f t="shared" si="7"/>
        <v>61</v>
      </c>
      <c r="E28" s="5">
        <f t="shared" si="3"/>
        <v>1</v>
      </c>
      <c r="F28" s="5">
        <f t="shared" si="4"/>
        <v>3</v>
      </c>
      <c r="G28" s="5">
        <f t="shared" si="5"/>
        <v>1</v>
      </c>
      <c r="H28" s="5">
        <f t="shared" si="6"/>
        <v>3</v>
      </c>
    </row>
    <row r="29">
      <c r="A29" s="8">
        <v>25.0</v>
      </c>
      <c r="B29" s="26">
        <f t="shared" si="1"/>
        <v>4</v>
      </c>
      <c r="C29" s="26">
        <f t="shared" si="2"/>
        <v>4</v>
      </c>
      <c r="D29" s="5">
        <f t="shared" si="7"/>
        <v>65</v>
      </c>
      <c r="E29" s="5">
        <f t="shared" si="3"/>
        <v>2</v>
      </c>
      <c r="F29" s="5">
        <f t="shared" si="4"/>
        <v>2</v>
      </c>
      <c r="G29" s="5">
        <f t="shared" si="5"/>
        <v>1</v>
      </c>
      <c r="H29" s="5">
        <f t="shared" si="6"/>
        <v>3</v>
      </c>
    </row>
    <row r="30">
      <c r="A30" s="8">
        <v>26.0</v>
      </c>
      <c r="B30" s="26">
        <f t="shared" si="1"/>
        <v>4</v>
      </c>
      <c r="C30" s="26">
        <f t="shared" si="2"/>
        <v>4</v>
      </c>
      <c r="D30" s="5">
        <f t="shared" si="7"/>
        <v>69</v>
      </c>
      <c r="E30" s="5">
        <f t="shared" si="3"/>
        <v>1</v>
      </c>
      <c r="F30" s="5">
        <f t="shared" si="4"/>
        <v>3</v>
      </c>
      <c r="G30" s="5">
        <f t="shared" si="5"/>
        <v>1</v>
      </c>
      <c r="H30" s="5">
        <f t="shared" si="6"/>
        <v>3</v>
      </c>
    </row>
    <row r="31">
      <c r="A31" s="8">
        <v>27.0</v>
      </c>
      <c r="B31" s="26">
        <f t="shared" si="1"/>
        <v>4</v>
      </c>
      <c r="C31" s="26">
        <f t="shared" si="2"/>
        <v>4</v>
      </c>
      <c r="D31" s="5">
        <f t="shared" si="7"/>
        <v>73</v>
      </c>
      <c r="E31" s="5">
        <f t="shared" si="3"/>
        <v>2</v>
      </c>
      <c r="F31" s="5">
        <f t="shared" si="4"/>
        <v>2</v>
      </c>
      <c r="G31" s="5">
        <f t="shared" si="5"/>
        <v>1</v>
      </c>
      <c r="H31" s="5">
        <f t="shared" si="6"/>
        <v>3</v>
      </c>
    </row>
    <row r="32">
      <c r="A32" s="8">
        <v>28.0</v>
      </c>
      <c r="B32" s="26">
        <f t="shared" si="1"/>
        <v>5</v>
      </c>
      <c r="C32" s="26">
        <f t="shared" si="2"/>
        <v>4</v>
      </c>
      <c r="D32" s="5">
        <f t="shared" si="7"/>
        <v>78</v>
      </c>
      <c r="E32" s="5">
        <f t="shared" si="3"/>
        <v>2</v>
      </c>
      <c r="F32" s="5">
        <f t="shared" si="4"/>
        <v>2</v>
      </c>
      <c r="G32" s="5">
        <f t="shared" si="5"/>
        <v>1</v>
      </c>
      <c r="H32" s="5">
        <f t="shared" si="6"/>
        <v>3</v>
      </c>
    </row>
    <row r="33">
      <c r="A33" s="8">
        <v>29.0</v>
      </c>
      <c r="B33" s="26">
        <f t="shared" si="1"/>
        <v>5</v>
      </c>
      <c r="C33" s="26">
        <f t="shared" si="2"/>
        <v>4</v>
      </c>
      <c r="D33" s="5">
        <f t="shared" si="7"/>
        <v>83</v>
      </c>
      <c r="E33" s="5">
        <f t="shared" si="3"/>
        <v>2</v>
      </c>
      <c r="F33" s="5">
        <f t="shared" si="4"/>
        <v>2</v>
      </c>
      <c r="G33" s="5">
        <f t="shared" si="5"/>
        <v>1</v>
      </c>
      <c r="H33" s="5">
        <f t="shared" si="6"/>
        <v>3</v>
      </c>
    </row>
    <row r="34">
      <c r="A34" s="8">
        <v>30.0</v>
      </c>
      <c r="B34" s="26">
        <f t="shared" si="1"/>
        <v>5</v>
      </c>
      <c r="C34" s="26">
        <f t="shared" si="2"/>
        <v>5</v>
      </c>
      <c r="D34" s="5">
        <f t="shared" si="7"/>
        <v>88</v>
      </c>
      <c r="E34" s="5">
        <f t="shared" si="3"/>
        <v>1</v>
      </c>
      <c r="F34" s="5">
        <f t="shared" si="4"/>
        <v>4</v>
      </c>
      <c r="G34" s="5">
        <f t="shared" si="5"/>
        <v>2</v>
      </c>
      <c r="H34" s="5">
        <f t="shared" si="6"/>
        <v>3</v>
      </c>
    </row>
    <row r="35">
      <c r="A35" s="8">
        <v>31.0</v>
      </c>
      <c r="B35" s="26">
        <f t="shared" si="1"/>
        <v>5</v>
      </c>
      <c r="C35" s="26">
        <f t="shared" si="2"/>
        <v>5</v>
      </c>
      <c r="D35" s="5">
        <f t="shared" si="7"/>
        <v>93</v>
      </c>
      <c r="E35" s="5">
        <f t="shared" si="3"/>
        <v>2</v>
      </c>
      <c r="F35" s="5">
        <f t="shared" si="4"/>
        <v>3</v>
      </c>
      <c r="G35" s="5">
        <f t="shared" si="5"/>
        <v>1</v>
      </c>
      <c r="H35" s="5">
        <f t="shared" si="6"/>
        <v>4</v>
      </c>
    </row>
    <row r="36">
      <c r="A36" s="8">
        <v>32.0</v>
      </c>
      <c r="B36" s="26">
        <f t="shared" si="1"/>
        <v>5</v>
      </c>
      <c r="C36" s="26">
        <f t="shared" si="2"/>
        <v>5</v>
      </c>
      <c r="D36" s="5">
        <f t="shared" si="7"/>
        <v>98</v>
      </c>
      <c r="E36" s="5">
        <f t="shared" si="3"/>
        <v>2</v>
      </c>
      <c r="F36" s="5">
        <f t="shared" si="4"/>
        <v>3</v>
      </c>
      <c r="G36" s="5">
        <f t="shared" si="5"/>
        <v>1</v>
      </c>
      <c r="H36" s="5">
        <f t="shared" si="6"/>
        <v>4</v>
      </c>
    </row>
    <row r="37">
      <c r="A37" s="8">
        <v>33.0</v>
      </c>
      <c r="B37" s="26">
        <f t="shared" si="1"/>
        <v>5</v>
      </c>
      <c r="C37" s="26">
        <f t="shared" si="2"/>
        <v>5</v>
      </c>
      <c r="D37" s="5">
        <f t="shared" si="7"/>
        <v>103</v>
      </c>
      <c r="E37" s="5">
        <f t="shared" si="3"/>
        <v>2</v>
      </c>
      <c r="F37" s="5">
        <f t="shared" si="4"/>
        <v>3</v>
      </c>
      <c r="G37" s="5">
        <f t="shared" si="5"/>
        <v>1</v>
      </c>
      <c r="H37" s="5">
        <f t="shared" si="6"/>
        <v>4</v>
      </c>
    </row>
    <row r="38">
      <c r="A38" s="8">
        <v>34.0</v>
      </c>
      <c r="B38" s="26">
        <f t="shared" si="1"/>
        <v>5</v>
      </c>
      <c r="C38" s="26">
        <f t="shared" si="2"/>
        <v>5</v>
      </c>
      <c r="D38" s="5">
        <f t="shared" si="7"/>
        <v>108</v>
      </c>
      <c r="E38" s="5">
        <f t="shared" si="3"/>
        <v>2</v>
      </c>
      <c r="F38" s="5">
        <f t="shared" si="4"/>
        <v>3</v>
      </c>
      <c r="G38" s="5">
        <f t="shared" si="5"/>
        <v>2</v>
      </c>
      <c r="H38" s="5">
        <f t="shared" si="6"/>
        <v>3</v>
      </c>
    </row>
    <row r="39">
      <c r="A39" s="8">
        <v>35.0</v>
      </c>
      <c r="B39" s="26">
        <f t="shared" si="1"/>
        <v>6</v>
      </c>
      <c r="C39" s="26">
        <f t="shared" si="2"/>
        <v>5</v>
      </c>
      <c r="D39" s="5">
        <f t="shared" si="7"/>
        <v>114</v>
      </c>
      <c r="E39" s="5">
        <f t="shared" si="3"/>
        <v>3</v>
      </c>
      <c r="F39" s="5">
        <f t="shared" si="4"/>
        <v>2</v>
      </c>
      <c r="G39" s="5">
        <f t="shared" si="5"/>
        <v>1</v>
      </c>
      <c r="H39" s="5">
        <f t="shared" si="6"/>
        <v>4</v>
      </c>
    </row>
    <row r="40">
      <c r="A40" s="8">
        <v>36.0</v>
      </c>
      <c r="B40" s="26">
        <f t="shared" si="1"/>
        <v>6</v>
      </c>
      <c r="C40" s="26">
        <f t="shared" si="2"/>
        <v>5</v>
      </c>
      <c r="D40" s="5">
        <f t="shared" si="7"/>
        <v>120</v>
      </c>
      <c r="E40" s="5">
        <f t="shared" si="3"/>
        <v>2</v>
      </c>
      <c r="F40" s="5">
        <f t="shared" si="4"/>
        <v>3</v>
      </c>
      <c r="G40" s="5">
        <f t="shared" si="5"/>
        <v>2</v>
      </c>
      <c r="H40" s="5">
        <f t="shared" si="6"/>
        <v>3</v>
      </c>
    </row>
    <row r="41">
      <c r="A41" s="8">
        <v>37.0</v>
      </c>
      <c r="B41" s="26">
        <f t="shared" si="1"/>
        <v>6</v>
      </c>
      <c r="C41" s="26">
        <f t="shared" si="2"/>
        <v>5</v>
      </c>
      <c r="D41" s="5">
        <f t="shared" si="7"/>
        <v>126</v>
      </c>
      <c r="E41" s="5">
        <f t="shared" si="3"/>
        <v>2</v>
      </c>
      <c r="F41" s="5">
        <f t="shared" si="4"/>
        <v>3</v>
      </c>
      <c r="G41" s="5">
        <f t="shared" si="5"/>
        <v>1</v>
      </c>
      <c r="H41" s="5">
        <f t="shared" si="6"/>
        <v>4</v>
      </c>
    </row>
    <row r="42">
      <c r="A42" s="8">
        <v>38.0</v>
      </c>
      <c r="B42" s="26">
        <f t="shared" si="1"/>
        <v>6</v>
      </c>
      <c r="C42" s="26">
        <f t="shared" si="2"/>
        <v>5</v>
      </c>
      <c r="D42" s="5">
        <f t="shared" si="7"/>
        <v>132</v>
      </c>
      <c r="E42" s="5">
        <f t="shared" si="3"/>
        <v>2</v>
      </c>
      <c r="F42" s="5">
        <f t="shared" si="4"/>
        <v>3</v>
      </c>
      <c r="G42" s="5">
        <f t="shared" si="5"/>
        <v>2</v>
      </c>
      <c r="H42" s="5">
        <f t="shared" si="6"/>
        <v>3</v>
      </c>
    </row>
    <row r="43">
      <c r="A43" s="8">
        <v>39.0</v>
      </c>
      <c r="B43" s="26">
        <f t="shared" si="1"/>
        <v>6</v>
      </c>
      <c r="C43" s="26">
        <f t="shared" si="2"/>
        <v>5</v>
      </c>
      <c r="D43" s="5">
        <f t="shared" si="7"/>
        <v>138</v>
      </c>
      <c r="E43" s="5">
        <f t="shared" si="3"/>
        <v>3</v>
      </c>
      <c r="F43" s="5">
        <f t="shared" si="4"/>
        <v>2</v>
      </c>
      <c r="G43" s="5">
        <f t="shared" si="5"/>
        <v>1</v>
      </c>
      <c r="H43" s="5">
        <f t="shared" si="6"/>
        <v>4</v>
      </c>
    </row>
  </sheetData>
  <conditionalFormatting sqref="G1:G43">
    <cfRule type="colorScale" priority="1">
      <colorScale>
        <cfvo type="formula" val="0"/>
        <cfvo type="formula" val="4"/>
        <color rgb="FFFFFFFF"/>
        <color rgb="FFFFD666"/>
      </colorScale>
    </cfRule>
  </conditionalFormatting>
  <conditionalFormatting sqref="F5:F43">
    <cfRule type="colorScale" priority="2">
      <colorScale>
        <cfvo type="formula" val="0"/>
        <cfvo type="formula" val="4"/>
        <color rgb="FFFFFFFF"/>
        <color rgb="FF57BB8A"/>
      </colorScale>
    </cfRule>
  </conditionalFormatting>
  <conditionalFormatting sqref="E5:E43">
    <cfRule type="colorScale" priority="3">
      <colorScale>
        <cfvo type="formula" val="0"/>
        <cfvo type="formula" val="4"/>
        <color rgb="FFFFFFFF"/>
        <color rgb="FF57BB8A"/>
      </colorScale>
    </cfRule>
  </conditionalFormatting>
  <conditionalFormatting sqref="H1:H43">
    <cfRule type="colorScale" priority="4">
      <colorScale>
        <cfvo type="formula" val="0"/>
        <cfvo type="formula" val="4"/>
        <color rgb="FFFFFFFF"/>
        <color rgb="FFFFD666"/>
      </colorScale>
    </cfRule>
  </conditionalFormatting>
  <drawing r:id="rId1"/>
</worksheet>
</file>